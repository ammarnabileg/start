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افتراضات" sheetId="2" state="visible" r:id="rId2"/>
    <sheet name="النمو والإيراد" sheetId="3" state="visible" r:id="rId3"/>
    <sheet name="الأرباح والتدفق" sheetId="4" state="visible" r:id="rId4"/>
    <sheet name="صفقة الاستثما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ر.س&quot;"/>
    <numFmt numFmtId="166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B7F3B"/>
      <sz val="10"/>
    </font>
    <font>
      <name val="Arial"/>
      <b val="1"/>
      <color rgb="00FFFFFF"/>
      <sz val="11"/>
    </font>
    <font>
      <name val="Arial"/>
      <b val="1"/>
      <color rgb="001F2937"/>
      <sz val="12"/>
    </font>
    <font>
      <name val="Arial"/>
      <color rgb="00111111"/>
      <sz val="11"/>
    </font>
    <font>
      <name val="Arial"/>
      <color rgb="00555555"/>
      <sz val="9"/>
    </font>
    <font>
      <name val="Arial"/>
      <b val="1"/>
      <color rgb="00111111"/>
      <sz val="11"/>
    </font>
    <font>
      <name val="Arial"/>
      <b val="1"/>
      <color rgb="00FFFFFF"/>
      <sz val="16"/>
    </font>
    <font>
      <name val="Arial"/>
      <b val="1"/>
      <color rgb="00555555"/>
      <sz val="10"/>
    </font>
    <font>
      <name val="Arial"/>
      <b val="1"/>
      <color rgb="001F2937"/>
      <sz val="15"/>
    </font>
    <font>
      <name val="Arial"/>
      <b val="1"/>
      <color rgb="001B7F3B"/>
      <sz val="9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4EA"/>
      </patternFill>
    </fill>
    <fill>
      <patternFill patternType="solid">
        <fgColor rgb="00FFF4D6"/>
      </patternFill>
    </fill>
    <fill>
      <patternFill patternType="solid">
        <fgColor rgb="00FFFFFF"/>
      </patternFill>
    </fill>
    <fill>
      <patternFill patternType="solid">
        <fgColor rgb="00FDE9A8"/>
      </patternFill>
    </fill>
    <fill>
      <patternFill patternType="solid">
        <fgColor rgb="00F7F7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2B705"/>
      </top>
    </border>
    <border>
      <left style="thin">
        <color rgb="00D9D9D9"/>
      </left>
      <right style="thin">
        <color rgb="00D9D9D9"/>
      </right>
      <top style="medium">
        <color rgb="001B7F3B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2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165" fontId="10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9" fillId="7" borderId="3" applyAlignment="1" pivotButton="0" quotePrefix="0" xfId="0">
      <alignment horizontal="right" vertical="center"/>
    </xf>
    <xf numFmtId="166" fontId="1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 ht="30" customHeight="1">
      <c r="B2" s="1" t="inlineStr">
        <is>
          <t>منصة الولاء White-Label — الملخّص التنفيذي للمستثمر</t>
        </is>
      </c>
    </row>
    <row r="3">
      <c r="B3" s="2" t="inlineStr">
        <is>
          <t>برنامج ولاء جاهز لكل محل/مطعم/كافيه · اشتراك شهري متكرّر (SaaS) · السوق السعودي · متوافق PDPL</t>
        </is>
      </c>
    </row>
    <row r="5" ht="18" customHeight="1">
      <c r="B5" s="3" t="inlineStr">
        <is>
          <t>إجمالي الإيراد — السنة 4</t>
        </is>
      </c>
      <c r="D5" s="3" t="inlineStr">
        <is>
          <t>الإيراد المتكرر ARR — السنة 4</t>
        </is>
      </c>
    </row>
    <row r="6" ht="26" customHeight="1">
      <c r="B6" s="4">
        <f>'النمو والإيراد'!F13</f>
        <v/>
      </c>
      <c r="D6" s="4">
        <f>'النمو والإيراد'!F14</f>
        <v/>
      </c>
    </row>
    <row r="8" ht="18" customHeight="1">
      <c r="B8" s="3" t="inlineStr">
        <is>
          <t>تجار مدفوعون — نهاية السنة 4</t>
        </is>
      </c>
      <c r="D8" s="3" t="inlineStr">
        <is>
          <t>صافي ربح تشغيلي EBITDA — السنة 4</t>
        </is>
      </c>
    </row>
    <row r="9" ht="26" customHeight="1">
      <c r="B9" s="5">
        <f>'النمو والإيراد'!F7</f>
        <v/>
      </c>
      <c r="D9" s="4">
        <f>'الأرباح والتدفق'!F12</f>
        <v/>
      </c>
    </row>
    <row r="11" ht="18" customHeight="1">
      <c r="B11" s="3" t="inlineStr">
        <is>
          <t>الاستثمار المطلوب</t>
        </is>
      </c>
      <c r="D11" s="3" t="inlineStr">
        <is>
          <t>نسبة الملكية للمستثمر</t>
        </is>
      </c>
    </row>
    <row r="12" ht="26" customHeight="1">
      <c r="B12" s="4">
        <f>الافتراضات!C19</f>
        <v/>
      </c>
      <c r="D12" s="6">
        <f>الافتراضات!C20</f>
        <v/>
      </c>
    </row>
    <row r="14" ht="18" customHeight="1">
      <c r="B14" s="7" t="inlineStr">
        <is>
          <t>عائد المستثمر (MOIC) خلال 4 سنوات</t>
        </is>
      </c>
      <c r="D14" s="7" t="inlineStr">
        <is>
          <t>العائد السنوي المركّب IRR</t>
        </is>
      </c>
    </row>
    <row r="15" ht="26" customHeight="1">
      <c r="B15" s="8">
        <f>'صفقة الاستثمار'!C14</f>
        <v/>
      </c>
      <c r="D15" s="6">
        <f>'صفقة الاستثمار'!C15</f>
        <v/>
      </c>
    </row>
    <row r="18">
      <c r="B18" s="9" t="inlineStr">
        <is>
          <t>لمحة النمو عبر 4 سنوات</t>
        </is>
      </c>
    </row>
    <row r="19">
      <c r="B19" s="10" t="inlineStr">
        <is>
          <t>المؤشّر</t>
        </is>
      </c>
      <c r="C19" s="11" t="inlineStr">
        <is>
          <t>السنة 1</t>
        </is>
      </c>
      <c r="D19" s="11" t="inlineStr">
        <is>
          <t>السنة 2</t>
        </is>
      </c>
      <c r="E19" s="11" t="inlineStr">
        <is>
          <t>السنة 3</t>
        </is>
      </c>
      <c r="F19" s="11" t="inlineStr">
        <is>
          <t>السنة 4</t>
        </is>
      </c>
    </row>
    <row r="20">
      <c r="B20" s="12" t="inlineStr">
        <is>
          <t>تجار مدفوعون (نهاية السنة)</t>
        </is>
      </c>
      <c r="C20" s="13">
        <f>'النمو والإيراد'!C7</f>
        <v/>
      </c>
      <c r="D20" s="13">
        <f>'النمو والإيراد'!D7</f>
        <v/>
      </c>
      <c r="E20" s="13">
        <f>'النمو والإيراد'!E7</f>
        <v/>
      </c>
      <c r="F20" s="13">
        <f>'النمو والإيراد'!F7</f>
        <v/>
      </c>
    </row>
    <row r="21">
      <c r="B21" s="12" t="inlineStr">
        <is>
          <t>إجمالي الإيراد</t>
        </is>
      </c>
      <c r="C21" s="14">
        <f>'النمو والإيراد'!C13</f>
        <v/>
      </c>
      <c r="D21" s="14">
        <f>'النمو والإيراد'!D13</f>
        <v/>
      </c>
      <c r="E21" s="14">
        <f>'النمو والإيراد'!E13</f>
        <v/>
      </c>
      <c r="F21" s="14">
        <f>'النمو والإيراد'!F13</f>
        <v/>
      </c>
    </row>
    <row r="22">
      <c r="B22" s="12" t="inlineStr">
        <is>
          <t>مجمل الربح</t>
        </is>
      </c>
      <c r="C22" s="14">
        <f>'الأرباح والتدفق'!C7</f>
        <v/>
      </c>
      <c r="D22" s="14">
        <f>'الأرباح والتدفق'!D7</f>
        <v/>
      </c>
      <c r="E22" s="14">
        <f>'الأرباح والتدفق'!E7</f>
        <v/>
      </c>
      <c r="F22" s="14">
        <f>'الأرباح والتدفق'!F7</f>
        <v/>
      </c>
    </row>
    <row r="23">
      <c r="B23" s="12" t="inlineStr">
        <is>
          <t>EBITDA</t>
        </is>
      </c>
      <c r="C23" s="14">
        <f>'الأرباح والتدفق'!C12</f>
        <v/>
      </c>
      <c r="D23" s="14">
        <f>'الأرباح والتدفق'!D12</f>
        <v/>
      </c>
      <c r="E23" s="14">
        <f>'الأرباح والتدفق'!E12</f>
        <v/>
      </c>
      <c r="F23" s="14">
        <f>'الأرباح والتدفق'!F12</f>
        <v/>
      </c>
    </row>
    <row r="24">
      <c r="B24" s="12" t="inlineStr">
        <is>
          <t>النقد التراكمي</t>
        </is>
      </c>
      <c r="C24" s="14">
        <f>'الأرباح والتدفق'!C18</f>
        <v/>
      </c>
      <c r="D24" s="14">
        <f>'الأرباح والتدفق'!D18</f>
        <v/>
      </c>
      <c r="E24" s="14">
        <f>'الأرباح والتدفق'!E18</f>
        <v/>
      </c>
      <c r="F24" s="14">
        <f>'الأرباح والتدفق'!F18</f>
        <v/>
      </c>
    </row>
    <row r="26">
      <c r="B26" s="15" t="inlineStr">
        <is>
          <t>كل الأرقام معادلات حيّة. عدّل المدخلات في ورقة «الافتراضات» (الخلايا الخضراء) لتجربة سيناريوهات مختلفة.</t>
        </is>
      </c>
    </row>
  </sheetData>
  <mergeCells count="20">
    <mergeCell ref="B3:F3"/>
    <mergeCell ref="B18:F18"/>
    <mergeCell ref="B12:C12"/>
    <mergeCell ref="D6:E6"/>
    <mergeCell ref="B2:F2"/>
    <mergeCell ref="B11:C11"/>
    <mergeCell ref="D11:E11"/>
    <mergeCell ref="B14:C14"/>
    <mergeCell ref="B8:C8"/>
    <mergeCell ref="B9:C9"/>
    <mergeCell ref="D9:E9"/>
    <mergeCell ref="D12:E12"/>
    <mergeCell ref="D8:E8"/>
    <mergeCell ref="B6:C6"/>
    <mergeCell ref="B15:C15"/>
    <mergeCell ref="D15:E15"/>
    <mergeCell ref="B5:C5"/>
    <mergeCell ref="D5:E5"/>
    <mergeCell ref="D14:E14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26" customHeight="1">
      <c r="A1" s="16" t="inlineStr">
        <is>
          <t>دراسة جدوى — منصة ولاء White-Label  ·  نموذج مالي 4 سنوات</t>
        </is>
      </c>
    </row>
    <row r="2">
      <c r="A2" s="17" t="inlineStr">
        <is>
          <t>الخلايا الخضراء = مدخلات قابلة للتعديل. غيّر الرقم وكل الجداول تتحدّث تلقائيًا.</t>
        </is>
      </c>
    </row>
    <row r="4">
      <c r="B4" s="10" t="inlineStr">
        <is>
          <t>الافتراض</t>
        </is>
      </c>
      <c r="C4" s="11" t="inlineStr">
        <is>
          <t>السنة 1</t>
        </is>
      </c>
      <c r="D4" s="11" t="inlineStr">
        <is>
          <t>السنة 2</t>
        </is>
      </c>
      <c r="E4" s="11" t="inlineStr">
        <is>
          <t>السنة 3</t>
        </is>
      </c>
      <c r="F4" s="11" t="inlineStr">
        <is>
          <t>السنة 4</t>
        </is>
      </c>
      <c r="G4" s="10" t="inlineStr">
        <is>
          <t>ملاحظات</t>
        </is>
      </c>
    </row>
    <row r="5" ht="18" customHeight="1">
      <c r="A5" s="9" t="inlineStr">
        <is>
          <t>السوق واكتساب العملاء</t>
        </is>
      </c>
    </row>
    <row r="6" ht="18" customHeight="1">
      <c r="B6" s="18" t="inlineStr">
        <is>
          <t>تجار جدد مدفوعون (يُضافون خلال السنة)</t>
        </is>
      </c>
      <c r="C6" s="19" t="n">
        <v>180</v>
      </c>
      <c r="D6" s="19" t="n">
        <v>520</v>
      </c>
      <c r="E6" s="19" t="n">
        <v>1100</v>
      </c>
      <c r="F6" s="19" t="n">
        <v>1900</v>
      </c>
      <c r="G6" s="20" t="inlineStr">
        <is>
          <t>عدد التجار اللي يبدأوا اشتراك مدفوع في السنة</t>
        </is>
      </c>
    </row>
    <row r="7" ht="18" customHeight="1">
      <c r="B7" s="18" t="inlineStr">
        <is>
          <t>معدل التسرّب السنوي (Churn)</t>
        </is>
      </c>
      <c r="C7" s="21" t="n">
        <v>0.18</v>
      </c>
      <c r="D7" s="21" t="n">
        <v>0.15</v>
      </c>
      <c r="E7" s="21" t="n">
        <v>0.13</v>
      </c>
      <c r="F7" s="21" t="n">
        <v>0.12</v>
      </c>
      <c r="G7" s="20" t="inlineStr">
        <is>
          <t>نسبة التجار اللي يلغوا الاشتراك سنويًا</t>
        </is>
      </c>
    </row>
    <row r="8" ht="18" customHeight="1">
      <c r="B8" s="18" t="inlineStr">
        <is>
          <t>نسبة التحوّل من المجاني للمدفوع</t>
        </is>
      </c>
      <c r="C8" s="21" t="n">
        <v>0.22</v>
      </c>
      <c r="D8" s="21" t="n">
        <v>0.25</v>
      </c>
      <c r="E8" s="21" t="n">
        <v>0.28</v>
      </c>
      <c r="F8" s="21" t="n">
        <v>0.3</v>
      </c>
      <c r="G8" s="20" t="inlineStr">
        <is>
          <t>للعرض فقط — يوضّح قوة قمع التحويل</t>
        </is>
      </c>
    </row>
    <row r="9" ht="18" customHeight="1">
      <c r="A9" s="9" t="inlineStr">
        <is>
          <t>التسعير والإيراد لكل تاجر</t>
        </is>
      </c>
    </row>
    <row r="10" ht="18" customHeight="1">
      <c r="B10" s="18" t="inlineStr">
        <is>
          <t>سعر الاشتراك الشهري لكل تاجر (ر.س)</t>
        </is>
      </c>
      <c r="C10" s="22" t="n">
        <v>199</v>
      </c>
      <c r="D10" s="22" t="n">
        <v>199</v>
      </c>
      <c r="E10" s="22" t="n">
        <v>219</v>
      </c>
      <c r="F10" s="22" t="n">
        <v>219</v>
      </c>
      <c r="G10" s="20" t="inlineStr">
        <is>
          <t>السعر الفعلي في المنتج = 199 ر.س/شهر</t>
        </is>
      </c>
    </row>
    <row r="11" ht="18" customHeight="1">
      <c r="B11" s="18" t="inlineStr">
        <is>
          <t>إيراد إضافي شهري/تاجر (SMS وحملات) ر.س</t>
        </is>
      </c>
      <c r="C11" s="22" t="n">
        <v>25</v>
      </c>
      <c r="D11" s="22" t="n">
        <v>35</v>
      </c>
      <c r="E11" s="22" t="n">
        <v>45</v>
      </c>
      <c r="F11" s="22" t="n">
        <v>55</v>
      </c>
      <c r="G11" s="20" t="inlineStr">
        <is>
          <t>رسائل/إشعارات مدفوعة كزيادة على الاشتراك</t>
        </is>
      </c>
    </row>
    <row r="12" ht="18" customHeight="1">
      <c r="A12" s="9" t="inlineStr">
        <is>
          <t>التكاليف</t>
        </is>
      </c>
    </row>
    <row r="13" ht="18" customHeight="1">
      <c r="B13" s="18" t="inlineStr">
        <is>
          <t>تكلفة بنية تحتية شهرية/تاجر (ر.س)</t>
        </is>
      </c>
      <c r="C13" s="22" t="n">
        <v>18</v>
      </c>
      <c r="D13" s="22" t="n">
        <v>16</v>
      </c>
      <c r="E13" s="22" t="n">
        <v>14</v>
      </c>
      <c r="F13" s="22" t="n">
        <v>12</v>
      </c>
      <c r="G13" s="20" t="inlineStr">
        <is>
          <t>Supabase + Firebase + OTP/SMS — تقل بالحجم</t>
        </is>
      </c>
    </row>
    <row r="14" ht="18" customHeight="1">
      <c r="B14" s="18" t="inlineStr">
        <is>
          <t>رسوم بوابة الدفع (% من الإيراد)</t>
        </is>
      </c>
      <c r="C14" s="21" t="n">
        <v>0.025</v>
      </c>
      <c r="D14" s="21" t="n">
        <v>0.025</v>
      </c>
      <c r="E14" s="21" t="n">
        <v>0.024</v>
      </c>
      <c r="F14" s="21" t="n">
        <v>0.023</v>
      </c>
      <c r="G14" s="20" t="inlineStr">
        <is>
          <t>عمولة معالجة المدفوعات</t>
        </is>
      </c>
    </row>
    <row r="15" ht="18" customHeight="1">
      <c r="B15" s="18" t="inlineStr">
        <is>
          <t>تكلفة اكتساب التاجر الواحد CAC (ر.س)</t>
        </is>
      </c>
      <c r="C15" s="22" t="n">
        <v>350</v>
      </c>
      <c r="D15" s="22" t="n">
        <v>320</v>
      </c>
      <c r="E15" s="22" t="n">
        <v>300</v>
      </c>
      <c r="F15" s="22" t="n">
        <v>280</v>
      </c>
      <c r="G15" s="20" t="inlineStr">
        <is>
          <t>تسويق + مبيعات لكل تاجر جديد</t>
        </is>
      </c>
    </row>
    <row r="16" ht="18" customHeight="1">
      <c r="B16" s="18" t="inlineStr">
        <is>
          <t>رواتب الفريق (سنوي، ر.س)</t>
        </is>
      </c>
      <c r="C16" s="22" t="n">
        <v>780000</v>
      </c>
      <c r="D16" s="22" t="n">
        <v>1450000</v>
      </c>
      <c r="E16" s="22" t="n">
        <v>2400000</v>
      </c>
      <c r="F16" s="22" t="n">
        <v>3500000</v>
      </c>
      <c r="G16" s="20" t="inlineStr">
        <is>
          <t>تطوير + مبيعات + دعم + إدارة</t>
        </is>
      </c>
    </row>
    <row r="17" ht="18" customHeight="1">
      <c r="B17" s="18" t="inlineStr">
        <is>
          <t>مصاريف عامة وإدارية (سنوي، ر.س)</t>
        </is>
      </c>
      <c r="C17" s="22" t="n">
        <v>180000</v>
      </c>
      <c r="D17" s="22" t="n">
        <v>260000</v>
      </c>
      <c r="E17" s="22" t="n">
        <v>380000</v>
      </c>
      <c r="F17" s="22" t="n">
        <v>520000</v>
      </c>
      <c r="G17" s="20" t="inlineStr">
        <is>
          <t>إيجار/تراخيص/قانوني/محاسبة</t>
        </is>
      </c>
    </row>
    <row r="18" ht="18" customHeight="1">
      <c r="A18" s="9" t="inlineStr">
        <is>
          <t>صفقة الاستثمار</t>
        </is>
      </c>
    </row>
    <row r="19" ht="18" customHeight="1">
      <c r="B19" s="18" t="inlineStr">
        <is>
          <t>قيمة الاستثمار المطلوب (ر.س)</t>
        </is>
      </c>
      <c r="C19" s="22" t="n">
        <v>2000000</v>
      </c>
      <c r="D19" s="22" t="inlineStr"/>
      <c r="E19" s="22" t="inlineStr"/>
      <c r="F19" s="22" t="inlineStr"/>
      <c r="G19" s="20" t="inlineStr">
        <is>
          <t>يُضخ مرة واحدة في بداية السنة 1</t>
        </is>
      </c>
    </row>
    <row r="20" ht="18" customHeight="1">
      <c r="B20" s="18" t="inlineStr">
        <is>
          <t>نسبة الملكية للمستثمر (%)</t>
        </is>
      </c>
      <c r="C20" s="21" t="n">
        <v>0.2</v>
      </c>
      <c r="D20" s="21" t="inlineStr"/>
      <c r="E20" s="21" t="inlineStr"/>
      <c r="F20" s="21" t="inlineStr"/>
      <c r="G20" s="20" t="inlineStr">
        <is>
          <t>حصة المستثمر مقابل الاستثمار</t>
        </is>
      </c>
    </row>
    <row r="21" ht="18" customHeight="1">
      <c r="B21" s="18" t="inlineStr">
        <is>
          <t>مُضاعِف التقييم (× الإيراد السنوي ARR)</t>
        </is>
      </c>
      <c r="C21" s="23" t="n">
        <v>5</v>
      </c>
      <c r="D21" s="23" t="inlineStr"/>
      <c r="E21" s="23" t="inlineStr"/>
      <c r="F21" s="23" t="inlineStr"/>
      <c r="G21" s="20" t="inlineStr">
        <is>
          <t>تقييم سوقي شائع لـ SaaS = 4–6× ARR</t>
        </is>
      </c>
    </row>
    <row r="22" ht="18" customHeight="1">
      <c r="B22" s="18" t="inlineStr">
        <is>
          <t>تجار مدفوعون عند البداية</t>
        </is>
      </c>
      <c r="C22" s="19" t="n">
        <v>0</v>
      </c>
      <c r="D22" s="19" t="inlineStr"/>
      <c r="E22" s="19" t="inlineStr"/>
      <c r="F22" s="19" t="inlineStr"/>
      <c r="G22" s="20" t="inlineStr">
        <is>
          <t>نبدأ من الصفر (مشروع جديد)</t>
        </is>
      </c>
    </row>
  </sheetData>
  <mergeCells count="6">
    <mergeCell ref="A1:G1"/>
    <mergeCell ref="A9:G9"/>
    <mergeCell ref="A18:G18"/>
    <mergeCell ref="A12:G12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6" customHeight="1">
      <c r="A1" s="16" t="inlineStr">
        <is>
          <t>النمو والإيرادات — قاعدة التجار المدفوعين</t>
        </is>
      </c>
    </row>
    <row r="3">
      <c r="B3" s="10" t="inlineStr">
        <is>
          <t>البند</t>
        </is>
      </c>
      <c r="C3" s="11" t="inlineStr">
        <is>
          <t>السنة 1</t>
        </is>
      </c>
      <c r="D3" s="11" t="inlineStr">
        <is>
          <t>السنة 2</t>
        </is>
      </c>
      <c r="E3" s="11" t="inlineStr">
        <is>
          <t>السنة 3</t>
        </is>
      </c>
      <c r="F3" s="11" t="inlineStr">
        <is>
          <t>السنة 4</t>
        </is>
      </c>
      <c r="G3" s="11" t="inlineStr">
        <is>
          <t>الإجمالي</t>
        </is>
      </c>
    </row>
    <row r="4" ht="18" customHeight="1">
      <c r="B4" s="12" t="inlineStr">
        <is>
          <t>تجار مدفوعون — بداية السنة</t>
        </is>
      </c>
      <c r="C4" s="13">
        <f>الافتراضات!C22</f>
        <v/>
      </c>
      <c r="D4" s="13">
        <f>C7</f>
        <v/>
      </c>
      <c r="E4" s="13">
        <f>D7</f>
        <v/>
      </c>
      <c r="F4" s="13">
        <f>E7</f>
        <v/>
      </c>
      <c r="G4" s="24" t="inlineStr"/>
    </row>
    <row r="5" ht="18" customHeight="1">
      <c r="B5" s="12" t="inlineStr">
        <is>
          <t>(+) تجار جدد مدفوعون</t>
        </is>
      </c>
      <c r="C5" s="13">
        <f>الافتراضات!C6</f>
        <v/>
      </c>
      <c r="D5" s="13">
        <f>الافتراضات!D6</f>
        <v/>
      </c>
      <c r="E5" s="13">
        <f>الافتراضات!E6</f>
        <v/>
      </c>
      <c r="F5" s="13">
        <f>الافتراضات!F6</f>
        <v/>
      </c>
      <c r="G5" s="25">
        <f>SUM(C5:F5)</f>
        <v/>
      </c>
    </row>
    <row r="6" ht="18" customHeight="1">
      <c r="B6" s="12" t="inlineStr">
        <is>
          <t>(−) تجار متسرّبون (Churn)</t>
        </is>
      </c>
      <c r="C6" s="13">
        <f>-ROUND((C4+C5)*الافتراضات!C7,0)</f>
        <v/>
      </c>
      <c r="D6" s="13">
        <f>-ROUND((D4+D5)*الافتراضات!D7,0)</f>
        <v/>
      </c>
      <c r="E6" s="13">
        <f>-ROUND((E4+E5)*الافتراضات!E7,0)</f>
        <v/>
      </c>
      <c r="F6" s="13">
        <f>-ROUND((F4+F5)*الافتراضات!F7,0)</f>
        <v/>
      </c>
      <c r="G6" s="25">
        <f>SUM(C6:F6)</f>
        <v/>
      </c>
    </row>
    <row r="7" ht="18" customHeight="1">
      <c r="B7" s="26" t="inlineStr">
        <is>
          <t>تجار مدفوعون — نهاية السنة</t>
        </is>
      </c>
      <c r="C7" s="27">
        <f>C4+C5+C6</f>
        <v/>
      </c>
      <c r="D7" s="27">
        <f>D4+D5+D6</f>
        <v/>
      </c>
      <c r="E7" s="27">
        <f>E4+E5+E6</f>
        <v/>
      </c>
      <c r="F7" s="27">
        <f>F4+F5+F6</f>
        <v/>
      </c>
      <c r="G7" s="25">
        <f>F7</f>
        <v/>
      </c>
    </row>
    <row r="8" ht="18" customHeight="1">
      <c r="B8" s="12" t="inlineStr">
        <is>
          <t>متوسط التجار المدفوعين خلال السنة</t>
        </is>
      </c>
      <c r="C8" s="13">
        <f>ROUND((C4+C7)/2,0)</f>
        <v/>
      </c>
      <c r="D8" s="13">
        <f>ROUND((D4+D7)/2,0)</f>
        <v/>
      </c>
      <c r="E8" s="13">
        <f>ROUND((E4+E7)/2,0)</f>
        <v/>
      </c>
      <c r="F8" s="13">
        <f>ROUND((F4+F7)/2,0)</f>
        <v/>
      </c>
      <c r="G8" s="24" t="inlineStr"/>
    </row>
    <row r="9" ht="18" customHeight="1"/>
    <row r="10" ht="18" customHeight="1">
      <c r="B10" s="10" t="inlineStr">
        <is>
          <t>الإيرادات</t>
        </is>
      </c>
      <c r="C10" s="28" t="inlineStr"/>
      <c r="D10" s="28" t="inlineStr"/>
      <c r="E10" s="28" t="inlineStr"/>
      <c r="F10" s="28" t="inlineStr"/>
      <c r="G10" s="28" t="inlineStr"/>
    </row>
    <row r="11" ht="18" customHeight="1">
      <c r="B11" s="12" t="inlineStr">
        <is>
          <t>إيراد الاشتراكات (متوسط × سعر × 12)</t>
        </is>
      </c>
      <c r="C11" s="14">
        <f>C8*الافتراضات!C10*12</f>
        <v/>
      </c>
      <c r="D11" s="14">
        <f>D8*الافتراضات!D10*12</f>
        <v/>
      </c>
      <c r="E11" s="14">
        <f>E8*الافتراضات!E10*12</f>
        <v/>
      </c>
      <c r="F11" s="14">
        <f>F8*الافتراضات!F10*12</f>
        <v/>
      </c>
      <c r="G11" s="29">
        <f>SUM(C11:F11)</f>
        <v/>
      </c>
    </row>
    <row r="12" ht="18" customHeight="1">
      <c r="B12" s="12" t="inlineStr">
        <is>
          <t>إيراد إضافي (SMS/حملات)</t>
        </is>
      </c>
      <c r="C12" s="14">
        <f>C8*الافتراضات!C11*12</f>
        <v/>
      </c>
      <c r="D12" s="14">
        <f>D8*الافتراضات!D11*12</f>
        <v/>
      </c>
      <c r="E12" s="14">
        <f>E8*الافتراضات!E11*12</f>
        <v/>
      </c>
      <c r="F12" s="14">
        <f>F8*الافتراضات!F11*12</f>
        <v/>
      </c>
      <c r="G12" s="29">
        <f>SUM(C12:F12)</f>
        <v/>
      </c>
    </row>
    <row r="13" ht="18" customHeight="1">
      <c r="B13" s="30" t="inlineStr">
        <is>
          <t>إجمالي الإيراد</t>
        </is>
      </c>
      <c r="C13" s="29">
        <f>C11+C12</f>
        <v/>
      </c>
      <c r="D13" s="29">
        <f>D11+D12</f>
        <v/>
      </c>
      <c r="E13" s="29">
        <f>E11+E12</f>
        <v/>
      </c>
      <c r="F13" s="29">
        <f>F11+F12</f>
        <v/>
      </c>
      <c r="G13" s="29">
        <f>SUM(C13:F13)</f>
        <v/>
      </c>
    </row>
    <row r="14" ht="18" customHeight="1">
      <c r="B14" s="26" t="inlineStr">
        <is>
          <t>ARR — إيراد متكرر سنوي (نهاية السنة)</t>
        </is>
      </c>
      <c r="C14" s="31">
        <f>C7*(الافتراضات!C10+الافتراضات!C11)*12</f>
        <v/>
      </c>
      <c r="D14" s="31">
        <f>D7*(الافتراضات!D10+الافتراضات!D11)*12</f>
        <v/>
      </c>
      <c r="E14" s="31">
        <f>E7*(الافتراضات!E10+الافتراضات!E11)*12</f>
        <v/>
      </c>
      <c r="F14" s="31">
        <f>F7*(الافتراضات!F10+الافتراضات!F11)*12</f>
        <v/>
      </c>
      <c r="G14" s="29">
        <f>F14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6" customHeight="1">
      <c r="A1" s="16" t="inlineStr">
        <is>
          <t>قائمة الدخل (P&amp;L) والتدفق النقدي</t>
        </is>
      </c>
    </row>
    <row r="3">
      <c r="B3" s="10" t="inlineStr">
        <is>
          <t>البند</t>
        </is>
      </c>
      <c r="C3" s="11" t="inlineStr">
        <is>
          <t>السنة 1</t>
        </is>
      </c>
      <c r="D3" s="11" t="inlineStr">
        <is>
          <t>السنة 2</t>
        </is>
      </c>
      <c r="E3" s="11" t="inlineStr">
        <is>
          <t>السنة 3</t>
        </is>
      </c>
      <c r="F3" s="11" t="inlineStr">
        <is>
          <t>السنة 4</t>
        </is>
      </c>
      <c r="G3" s="11" t="inlineStr">
        <is>
          <t>الإجمالي</t>
        </is>
      </c>
    </row>
    <row r="4" ht="18" customHeight="1">
      <c r="B4" s="26" t="inlineStr">
        <is>
          <t>إجمالي الإيراد</t>
        </is>
      </c>
      <c r="C4" s="31">
        <f>'النمو والإيراد'!C13</f>
        <v/>
      </c>
      <c r="D4" s="31">
        <f>'النمو والإيراد'!D13</f>
        <v/>
      </c>
      <c r="E4" s="31">
        <f>'النمو والإيراد'!E13</f>
        <v/>
      </c>
      <c r="F4" s="31">
        <f>'النمو والإيراد'!F13</f>
        <v/>
      </c>
      <c r="G4" s="29">
        <f>SUM(C4:F4)</f>
        <v/>
      </c>
    </row>
    <row r="5" ht="18" customHeight="1">
      <c r="B5" s="12" t="inlineStr">
        <is>
          <t>(−) بنية تحتية (استضافة/OTP)</t>
        </is>
      </c>
      <c r="C5" s="14">
        <f>-'النمو والإيراد'!C8*الافتراضات!C13*12</f>
        <v/>
      </c>
      <c r="D5" s="14">
        <f>-'النمو والإيراد'!D8*الافتراضات!D13*12</f>
        <v/>
      </c>
      <c r="E5" s="14">
        <f>-'النمو والإيراد'!E8*الافتراضات!E13*12</f>
        <v/>
      </c>
      <c r="F5" s="14">
        <f>-'النمو والإيراد'!F8*الافتراضات!F13*12</f>
        <v/>
      </c>
      <c r="G5" s="29">
        <f>SUM(C5:F5)</f>
        <v/>
      </c>
    </row>
    <row r="6" ht="18" customHeight="1">
      <c r="B6" s="12" t="inlineStr">
        <is>
          <t>(−) رسوم بوابة الدفع</t>
        </is>
      </c>
      <c r="C6" s="14">
        <f>-'النمو والإيراد'!C13*الافتراضات!C14</f>
        <v/>
      </c>
      <c r="D6" s="14">
        <f>-'النمو والإيراد'!D13*الافتراضات!D14</f>
        <v/>
      </c>
      <c r="E6" s="14">
        <f>-'النمو والإيراد'!E13*الافتراضات!E14</f>
        <v/>
      </c>
      <c r="F6" s="14">
        <f>-'النمو والإيراد'!F13*الافتراضات!F14</f>
        <v/>
      </c>
      <c r="G6" s="29">
        <f>SUM(C6:F6)</f>
        <v/>
      </c>
    </row>
    <row r="7" ht="18" customHeight="1">
      <c r="B7" s="26">
        <f> مجمل الربح (Gross Profit)</f>
        <v/>
      </c>
      <c r="C7" s="31">
        <f>C4+C5+C6</f>
        <v/>
      </c>
      <c r="D7" s="31">
        <f>D4+D5+D6</f>
        <v/>
      </c>
      <c r="E7" s="31">
        <f>E4+E5+E6</f>
        <v/>
      </c>
      <c r="F7" s="31">
        <f>F4+F5+F6</f>
        <v/>
      </c>
      <c r="G7" s="29">
        <f>SUM(C7:F7)</f>
        <v/>
      </c>
    </row>
    <row r="8" ht="18" customHeight="1">
      <c r="B8" s="12" t="inlineStr">
        <is>
          <t>هامش مجمل الربح %</t>
        </is>
      </c>
      <c r="C8" s="32">
        <f>IF(C4=0,0,C7/C4)</f>
        <v/>
      </c>
      <c r="D8" s="32">
        <f>IF(D4=0,0,D7/D4)</f>
        <v/>
      </c>
      <c r="E8" s="32">
        <f>IF(E4=0,0,E7/E4)</f>
        <v/>
      </c>
      <c r="F8" s="32">
        <f>IF(F4=0,0,F7/F4)</f>
        <v/>
      </c>
      <c r="G8" s="24" t="inlineStr"/>
    </row>
    <row r="9" ht="18" customHeight="1">
      <c r="B9" s="12" t="inlineStr">
        <is>
          <t>(−) تسويق ومبيعات (CAC × تجار جدد)</t>
        </is>
      </c>
      <c r="C9" s="14">
        <f>-'النمو والإيراد'!C5*الافتراضات!C15</f>
        <v/>
      </c>
      <c r="D9" s="14">
        <f>-'النمو والإيراد'!D5*الافتراضات!D15</f>
        <v/>
      </c>
      <c r="E9" s="14">
        <f>-'النمو والإيراد'!E5*الافتراضات!E15</f>
        <v/>
      </c>
      <c r="F9" s="14">
        <f>-'النمو والإيراد'!F5*الافتراضات!F15</f>
        <v/>
      </c>
      <c r="G9" s="29">
        <f>SUM(C9:F9)</f>
        <v/>
      </c>
    </row>
    <row r="10" ht="18" customHeight="1">
      <c r="B10" s="12" t="inlineStr">
        <is>
          <t>(−) رواتب الفريق</t>
        </is>
      </c>
      <c r="C10" s="14">
        <f>-الافتراضات!C16</f>
        <v/>
      </c>
      <c r="D10" s="14">
        <f>-الافتراضات!D16</f>
        <v/>
      </c>
      <c r="E10" s="14">
        <f>-الافتراضات!E16</f>
        <v/>
      </c>
      <c r="F10" s="14">
        <f>-الافتراضات!F16</f>
        <v/>
      </c>
      <c r="G10" s="29">
        <f>SUM(C10:F10)</f>
        <v/>
      </c>
    </row>
    <row r="11" ht="18" customHeight="1">
      <c r="B11" s="12" t="inlineStr">
        <is>
          <t>(−) مصاريف عامة وإدارية</t>
        </is>
      </c>
      <c r="C11" s="14">
        <f>-الافتراضات!C17</f>
        <v/>
      </c>
      <c r="D11" s="14">
        <f>-الافتراضات!D17</f>
        <v/>
      </c>
      <c r="E11" s="14">
        <f>-الافتراضات!E17</f>
        <v/>
      </c>
      <c r="F11" s="14">
        <f>-الافتراضات!F17</f>
        <v/>
      </c>
      <c r="G11" s="29">
        <f>SUM(C11:F11)</f>
        <v/>
      </c>
    </row>
    <row r="12" ht="18" customHeight="1">
      <c r="B12" s="30">
        <f> صافي الربح التشغيلي (EBITDA)</f>
        <v/>
      </c>
      <c r="C12" s="29">
        <f>C7+C9+C10+C11</f>
        <v/>
      </c>
      <c r="D12" s="29">
        <f>D7+D9+D10+D11</f>
        <v/>
      </c>
      <c r="E12" s="29">
        <f>E7+E9+E10+E11</f>
        <v/>
      </c>
      <c r="F12" s="29">
        <f>F7+F9+F10+F11</f>
        <v/>
      </c>
      <c r="G12" s="29">
        <f>SUM(C12:F12)</f>
        <v/>
      </c>
    </row>
    <row r="13" ht="18" customHeight="1">
      <c r="B13" s="12" t="inlineStr">
        <is>
          <t>هامش EBITDA %</t>
        </is>
      </c>
      <c r="C13" s="32">
        <f>IF(C4=0,0,C12/C4)</f>
        <v/>
      </c>
      <c r="D13" s="32">
        <f>IF(D4=0,0,D12/D4)</f>
        <v/>
      </c>
      <c r="E13" s="32">
        <f>IF(E4=0,0,E12/E4)</f>
        <v/>
      </c>
      <c r="F13" s="32">
        <f>IF(F4=0,0,F12/F4)</f>
        <v/>
      </c>
      <c r="G13" s="24" t="inlineStr"/>
    </row>
    <row r="14" ht="18" customHeight="1"/>
    <row r="15" ht="18" customHeight="1">
      <c r="B15" s="10" t="inlineStr">
        <is>
          <t>التدفق النقدي التراكمي</t>
        </is>
      </c>
      <c r="C15" s="28" t="inlineStr"/>
      <c r="D15" s="28" t="inlineStr"/>
      <c r="E15" s="28" t="inlineStr"/>
      <c r="F15" s="28" t="inlineStr"/>
      <c r="G15" s="28" t="inlineStr"/>
    </row>
    <row r="16" ht="18" customHeight="1">
      <c r="B16" s="12" t="inlineStr">
        <is>
          <t>(+) ضخّ الاستثمار</t>
        </is>
      </c>
      <c r="C16" s="14">
        <f>الافتراضات!C19</f>
        <v/>
      </c>
      <c r="D16" s="14" t="inlineStr">
        <is>
          <t>0</t>
        </is>
      </c>
      <c r="E16" s="14" t="inlineStr">
        <is>
          <t>0</t>
        </is>
      </c>
      <c r="F16" s="14" t="inlineStr">
        <is>
          <t>0</t>
        </is>
      </c>
      <c r="G16" s="24" t="inlineStr"/>
    </row>
    <row r="17" ht="18" customHeight="1">
      <c r="B17" s="12" t="inlineStr">
        <is>
          <t>صافي التدفق النقدي السنوي</t>
        </is>
      </c>
      <c r="C17" s="14">
        <f>C12+C16</f>
        <v/>
      </c>
      <c r="D17" s="14">
        <f>D12+D16</f>
        <v/>
      </c>
      <c r="E17" s="14">
        <f>E12+E16</f>
        <v/>
      </c>
      <c r="F17" s="14">
        <f>F12+F16</f>
        <v/>
      </c>
      <c r="G17" s="29">
        <f>SUM(C17:F17)</f>
        <v/>
      </c>
    </row>
    <row r="18" ht="18" customHeight="1">
      <c r="B18" s="26" t="inlineStr">
        <is>
          <t>النقد التراكمي (الرصيد)</t>
        </is>
      </c>
      <c r="C18" s="31">
        <f>C17</f>
        <v/>
      </c>
      <c r="D18" s="31">
        <f>C18+D17</f>
        <v/>
      </c>
      <c r="E18" s="31">
        <f>D18+E17</f>
        <v/>
      </c>
      <c r="F18" s="31">
        <f>E18+F17</f>
        <v/>
      </c>
      <c r="G18" s="2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44" customWidth="1" min="4" max="4"/>
  </cols>
  <sheetData>
    <row r="1" ht="26" customHeight="1">
      <c r="A1" s="16" t="inlineStr">
        <is>
          <t>صفقة الاستثمار والعائد المتوقّع</t>
        </is>
      </c>
    </row>
    <row r="3" ht="19" customHeight="1">
      <c r="A3" s="9" t="inlineStr">
        <is>
          <t>هيكل الصفقة</t>
        </is>
      </c>
    </row>
    <row r="4" ht="19" customHeight="1">
      <c r="B4" s="12" t="inlineStr">
        <is>
          <t>قيمة الاستثمار المطلوب</t>
        </is>
      </c>
      <c r="C4" s="33">
        <f>الافتراضات!C19</f>
        <v/>
      </c>
      <c r="D4" s="20" t="inlineStr">
        <is>
          <t>يُضخّ مرة واحدة في بداية السنة 1</t>
        </is>
      </c>
    </row>
    <row r="5" ht="19" customHeight="1">
      <c r="B5" s="12" t="inlineStr">
        <is>
          <t>نسبة الملكية للمستثمر</t>
        </is>
      </c>
      <c r="C5" s="34">
        <f>الافتراضات!C20</f>
        <v/>
      </c>
      <c r="D5" s="20" t="inlineStr">
        <is>
          <t>الحصة مقابل الاستثمار</t>
        </is>
      </c>
    </row>
    <row r="6" ht="19" customHeight="1">
      <c r="B6" s="12" t="inlineStr">
        <is>
          <t>التقييم بعد الاستثمار (Post-money)</t>
        </is>
      </c>
      <c r="C6" s="33">
        <f>الافتراضات!C19/الافتراضات!C20</f>
        <v/>
      </c>
      <c r="D6" s="20">
        <f> الاستثمار ÷ نسبة الملكية</f>
        <v/>
      </c>
    </row>
    <row r="7" ht="19" customHeight="1">
      <c r="B7" s="12" t="inlineStr">
        <is>
          <t>التقييم قبل الاستثمار (Pre-money)</t>
        </is>
      </c>
      <c r="C7" s="33">
        <f>C6-الافتراضات!C19</f>
        <v/>
      </c>
      <c r="D7" s="20">
        <f> بعد الاستثمار − قيمة الاستثمار</f>
        <v/>
      </c>
    </row>
    <row r="8" ht="19" customHeight="1">
      <c r="B8" s="12" t="inlineStr">
        <is>
          <t>حصّة المؤسّس بعد الصفقة</t>
        </is>
      </c>
      <c r="C8" s="34">
        <f>1-الافتراضات!C20</f>
        <v/>
      </c>
      <c r="D8" s="20" t="inlineStr">
        <is>
          <t>تبقى الأغلبية مع المؤسّس</t>
        </is>
      </c>
    </row>
    <row r="9" ht="19" customHeight="1"/>
    <row r="10" ht="19" customHeight="1">
      <c r="A10" s="9" t="inlineStr">
        <is>
          <t>العائد المتوقّع للمستثمر (نهاية السنة 4)</t>
        </is>
      </c>
    </row>
    <row r="11" ht="19" customHeight="1">
      <c r="B11" s="12" t="inlineStr">
        <is>
          <t>ARR في نهاية السنة 4</t>
        </is>
      </c>
      <c r="C11" s="33">
        <f>'النمو والإيراد'!F14</f>
        <v/>
      </c>
      <c r="D11" s="20" t="inlineStr">
        <is>
          <t>الإيراد المتكرر السنوي</t>
        </is>
      </c>
    </row>
    <row r="12" ht="19" customHeight="1">
      <c r="B12" s="12" t="inlineStr">
        <is>
          <t>تقييم الشركة في السنة 4</t>
        </is>
      </c>
      <c r="C12" s="33">
        <f>C11*الافتراضات!C21</f>
        <v/>
      </c>
      <c r="D12" s="20">
        <f> ARR × مُضاعِف التقييم</f>
        <v/>
      </c>
    </row>
    <row r="13" ht="19" customHeight="1">
      <c r="B13" s="26" t="inlineStr">
        <is>
          <t>قيمة حصّة المستثمر في السنة 4</t>
        </is>
      </c>
      <c r="C13" s="31">
        <f>C12*الافتراضات!C20</f>
        <v/>
      </c>
      <c r="D13" s="20">
        <f> التقييم × نسبة الملكية</f>
        <v/>
      </c>
    </row>
    <row r="14" ht="19" customHeight="1">
      <c r="B14" s="30" t="inlineStr">
        <is>
          <t>مُضاعِف رأس المال (MOIC)</t>
        </is>
      </c>
      <c r="C14" s="35">
        <f>C13/الافتراضات!C19</f>
        <v/>
      </c>
      <c r="D14" s="20" t="inlineStr">
        <is>
          <t>كم ضِعفًا يرجع للمستثمر</t>
        </is>
      </c>
    </row>
    <row r="15" ht="19" customHeight="1">
      <c r="B15" s="30" t="inlineStr">
        <is>
          <t>العائد السنوي المركّب (IRR ~)</t>
        </is>
      </c>
      <c r="C15" s="36">
        <f>(C13/الافتراضات!C19)^(1/4)-1</f>
        <v/>
      </c>
      <c r="D15" s="20" t="inlineStr">
        <is>
          <t>معدل النمو السنوي للاستثمار خلال 4 سنوات</t>
        </is>
      </c>
    </row>
    <row r="16" ht="19" customHeight="1"/>
    <row r="17" ht="19" customHeight="1">
      <c r="A17" s="9" t="inlineStr">
        <is>
          <t>أوجه استخدام الاستثمار (Use of Funds)</t>
        </is>
      </c>
    </row>
    <row r="18" ht="19" customHeight="1">
      <c r="B18" s="10" t="inlineStr">
        <is>
          <t>البند</t>
        </is>
      </c>
      <c r="C18" s="11" t="inlineStr">
        <is>
          <t>المبلغ</t>
        </is>
      </c>
      <c r="D18" s="11" t="inlineStr">
        <is>
          <t>النسبة</t>
        </is>
      </c>
    </row>
    <row r="19" ht="19" customHeight="1">
      <c r="B19" s="12" t="inlineStr">
        <is>
          <t>تطوير المنتج والهندسة</t>
        </is>
      </c>
      <c r="C19" s="14">
        <f>الافتراضات!C19*0.35</f>
        <v/>
      </c>
      <c r="D19" s="32" t="n">
        <v>0.35</v>
      </c>
    </row>
    <row r="20" ht="19" customHeight="1">
      <c r="B20" s="12" t="inlineStr">
        <is>
          <t>التسويق واكتساب التجار</t>
        </is>
      </c>
      <c r="C20" s="14">
        <f>الافتراضات!C19*0.3</f>
        <v/>
      </c>
      <c r="D20" s="32" t="n">
        <v>0.3</v>
      </c>
    </row>
    <row r="21" ht="19" customHeight="1">
      <c r="B21" s="12" t="inlineStr">
        <is>
          <t>المبيعات والدعم</t>
        </is>
      </c>
      <c r="C21" s="14">
        <f>الافتراضات!C19*0.2</f>
        <v/>
      </c>
      <c r="D21" s="32" t="n">
        <v>0.2</v>
      </c>
    </row>
    <row r="22" ht="19" customHeight="1">
      <c r="B22" s="12" t="inlineStr">
        <is>
          <t>تشغيل وبنية تحتية</t>
        </is>
      </c>
      <c r="C22" s="14">
        <f>الافتراضات!C19*0.1</f>
        <v/>
      </c>
      <c r="D22" s="32" t="n">
        <v>0.1</v>
      </c>
    </row>
    <row r="23" ht="19" customHeight="1">
      <c r="B23" s="12" t="inlineStr">
        <is>
          <t>احتياطي/قانوني</t>
        </is>
      </c>
      <c r="C23" s="14">
        <f>الافتراضات!C19*0.05</f>
        <v/>
      </c>
      <c r="D23" s="32" t="n">
        <v>0.05</v>
      </c>
    </row>
    <row r="24" ht="19" customHeight="1">
      <c r="B24" s="30" t="inlineStr">
        <is>
          <t>الإجمالي</t>
        </is>
      </c>
      <c r="C24" s="29">
        <f>SUM(C19:C23)</f>
        <v/>
      </c>
      <c r="D24" s="36">
        <f>SUM(D19:D23)</f>
        <v/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2026-06-23T12:27:12Z</dcterms:created>
  <dcterms:modified xsi:type="dcterms:W3CDTF">2026-06-23T12:27:12Z</dcterms:modified>
</cp:coreProperties>
</file>